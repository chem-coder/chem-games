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lia/Developer/HTML &amp; CSS &amp; JS/-pH Calculator/"/>
    </mc:Choice>
  </mc:AlternateContent>
  <xr:revisionPtr revIDLastSave="0" documentId="13_ncr:1_{6DC72223-1A90-FF48-BB7A-82EFA878709C}" xr6:coauthVersionLast="47" xr6:coauthVersionMax="47" xr10:uidLastSave="{00000000-0000-0000-0000-000000000000}"/>
  <bookViews>
    <workbookView xWindow="0" yWindow="580" windowWidth="21220" windowHeight="15020" activeTab="1" xr2:uid="{9D2EE10B-7FAD-5148-BC8A-002351D909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G12" i="2"/>
  <c r="B14" i="1"/>
  <c r="B15" i="1"/>
  <c r="B11" i="1"/>
  <c r="B10" i="1"/>
  <c r="B7" i="1"/>
</calcChain>
</file>

<file path=xl/sharedStrings.xml><?xml version="1.0" encoding="utf-8"?>
<sst xmlns="http://schemas.openxmlformats.org/spreadsheetml/2006/main" count="53" uniqueCount="34">
  <si>
    <t>pH Calculator</t>
  </si>
  <si>
    <t>Acid:</t>
  </si>
  <si>
    <t>Base:</t>
  </si>
  <si>
    <t>Enter the Concentration of a Strong Acid:</t>
  </si>
  <si>
    <t>M</t>
  </si>
  <si>
    <t>pH</t>
  </si>
  <si>
    <t>Enter the Concentration of a Strong Base:</t>
  </si>
  <si>
    <t>Enter the Concentration of a Weak Acid:</t>
  </si>
  <si>
    <t>Enter the Ka of the Weak Acid</t>
  </si>
  <si>
    <t xml:space="preserve">Enter the </t>
  </si>
  <si>
    <t xml:space="preserve">Concentrations and the </t>
  </si>
  <si>
    <t xml:space="preserve">Volumes of the </t>
  </si>
  <si>
    <t>Species Present</t>
  </si>
  <si>
    <t>Strong Acid</t>
  </si>
  <si>
    <t>Strong Base</t>
  </si>
  <si>
    <t>Concentration:</t>
  </si>
  <si>
    <t>Volume:</t>
  </si>
  <si>
    <t>Weak Acid</t>
  </si>
  <si>
    <t>Weak Base</t>
  </si>
  <si>
    <t>L</t>
  </si>
  <si>
    <t>You can find the Ka of the weak acid here</t>
  </si>
  <si>
    <t>You can find the Kb of the weak base here</t>
  </si>
  <si>
    <t>Ka2</t>
  </si>
  <si>
    <t>Ka3</t>
  </si>
  <si>
    <t>pKa3</t>
  </si>
  <si>
    <t>pKa2</t>
  </si>
  <si>
    <t>Kb2</t>
  </si>
  <si>
    <t>pKb2</t>
  </si>
  <si>
    <t>Kb3</t>
  </si>
  <si>
    <t>pKb3</t>
  </si>
  <si>
    <t>Ka (Ka1)</t>
  </si>
  <si>
    <t>pKa (pKa1)</t>
  </si>
  <si>
    <t>Kb (Kb1)</t>
  </si>
  <si>
    <t>pKb (pKb1)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</si>
</sst>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2"/>
      <color theme="1"/>
      <name val="Aptos Narrow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1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Fill="1" applyBorder="1"/>
    <xf numFmtId="2" fontId="2" fillId="0" borderId="1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C28C-D2FD-9B43-B90B-AB8D81F61E6F}">
  <dimension ref="A1:C15"/>
  <sheetViews>
    <sheetView workbookViewId="0">
      <selection activeCell="B15" sqref="B15"/>
    </sheetView>
  </sheetViews>
  <sheetFormatPr baseColWidth="10" defaultRowHeight="16" x14ac:dyDescent="0.2"/>
  <cols>
    <col min="1" max="1" width="37.5" customWidth="1"/>
    <col min="2" max="2" width="16.83203125" bestFit="1" customWidth="1"/>
  </cols>
  <sheetData>
    <row r="1" spans="1:3" ht="22" x14ac:dyDescent="0.3">
      <c r="A1" s="1" t="s">
        <v>0</v>
      </c>
    </row>
    <row r="3" spans="1:3" x14ac:dyDescent="0.2">
      <c r="A3" t="s">
        <v>1</v>
      </c>
    </row>
    <row r="4" spans="1:3" x14ac:dyDescent="0.2">
      <c r="A4" t="s">
        <v>2</v>
      </c>
    </row>
    <row r="6" spans="1:3" x14ac:dyDescent="0.2">
      <c r="A6" t="s">
        <v>3</v>
      </c>
      <c r="B6">
        <v>0.13</v>
      </c>
      <c r="C6" t="s">
        <v>4</v>
      </c>
    </row>
    <row r="7" spans="1:3" x14ac:dyDescent="0.2">
      <c r="A7" t="s">
        <v>5</v>
      </c>
      <c r="B7" s="2">
        <f>-LOG(B6)</f>
        <v>0.88605664769316317</v>
      </c>
    </row>
    <row r="9" spans="1:3" x14ac:dyDescent="0.2">
      <c r="A9" t="s">
        <v>6</v>
      </c>
      <c r="B9">
        <v>0.13</v>
      </c>
      <c r="C9" t="s">
        <v>4</v>
      </c>
    </row>
    <row r="10" spans="1:3" x14ac:dyDescent="0.2">
      <c r="A10" t="s">
        <v>5</v>
      </c>
      <c r="B10" s="2">
        <f>-LOG((1*10^(-14))/B9)</f>
        <v>13.113943352306837</v>
      </c>
    </row>
    <row r="11" spans="1:3" x14ac:dyDescent="0.2">
      <c r="A11" t="s">
        <v>5</v>
      </c>
      <c r="B11" s="2">
        <f>14-(-LOG(B9))</f>
        <v>13.113943352306837</v>
      </c>
    </row>
    <row r="13" spans="1:3" x14ac:dyDescent="0.2">
      <c r="A13" t="s">
        <v>7</v>
      </c>
      <c r="B13">
        <v>0.13</v>
      </c>
      <c r="C13" t="s">
        <v>4</v>
      </c>
    </row>
    <row r="14" spans="1:3" x14ac:dyDescent="0.2">
      <c r="A14" t="s">
        <v>8</v>
      </c>
      <c r="B14">
        <f>1.8*10^(-5)</f>
        <v>1.8E-5</v>
      </c>
    </row>
    <row r="15" spans="1:3" x14ac:dyDescent="0.2">
      <c r="A15" t="s">
        <v>5</v>
      </c>
      <c r="B15" s="2">
        <f>-LOG(B13)</f>
        <v>0.88605664769316317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3BC94-9363-7F4C-806D-141E5203FE91}">
  <dimension ref="D2:K25"/>
  <sheetViews>
    <sheetView tabSelected="1" workbookViewId="0">
      <selection activeCell="I18" sqref="I18"/>
    </sheetView>
  </sheetViews>
  <sheetFormatPr baseColWidth="10" defaultRowHeight="16" x14ac:dyDescent="0.2"/>
  <cols>
    <col min="4" max="4" width="14.33203125" customWidth="1"/>
    <col min="9" max="9" width="14" customWidth="1"/>
  </cols>
  <sheetData>
    <row r="2" spans="4:11" x14ac:dyDescent="0.2">
      <c r="G2" s="5" t="s">
        <v>9</v>
      </c>
    </row>
    <row r="3" spans="4:11" x14ac:dyDescent="0.2">
      <c r="G3" s="5" t="s">
        <v>10</v>
      </c>
    </row>
    <row r="4" spans="4:11" x14ac:dyDescent="0.2">
      <c r="G4" s="5" t="s">
        <v>11</v>
      </c>
    </row>
    <row r="5" spans="4:11" x14ac:dyDescent="0.2">
      <c r="G5" s="5" t="s">
        <v>12</v>
      </c>
    </row>
    <row r="8" spans="4:11" x14ac:dyDescent="0.2">
      <c r="E8" s="4" t="s">
        <v>13</v>
      </c>
      <c r="J8" s="4" t="s">
        <v>14</v>
      </c>
    </row>
    <row r="9" spans="4:11" x14ac:dyDescent="0.2">
      <c r="D9" t="s">
        <v>15</v>
      </c>
      <c r="E9" s="3">
        <v>0.13</v>
      </c>
      <c r="F9" t="s">
        <v>4</v>
      </c>
      <c r="I9" t="s">
        <v>15</v>
      </c>
      <c r="J9" s="6">
        <v>0.24</v>
      </c>
      <c r="K9" t="s">
        <v>4</v>
      </c>
    </row>
    <row r="10" spans="4:11" x14ac:dyDescent="0.2">
      <c r="D10" t="s">
        <v>16</v>
      </c>
      <c r="E10" s="3">
        <v>1</v>
      </c>
      <c r="F10" t="s">
        <v>19</v>
      </c>
      <c r="I10" t="s">
        <v>16</v>
      </c>
      <c r="J10" s="6">
        <v>1</v>
      </c>
      <c r="K10" t="s">
        <v>19</v>
      </c>
    </row>
    <row r="11" spans="4:11" x14ac:dyDescent="0.2">
      <c r="G11" s="5" t="s">
        <v>5</v>
      </c>
    </row>
    <row r="12" spans="4:11" x14ac:dyDescent="0.2">
      <c r="G12" s="7">
        <f>14-LOG(J9-E9)</f>
        <v>14.958607314841775</v>
      </c>
    </row>
    <row r="13" spans="4:11" x14ac:dyDescent="0.2">
      <c r="G13" s="8">
        <f>14-LOG(J9-E9)</f>
        <v>14.958607314841775</v>
      </c>
    </row>
    <row r="14" spans="4:11" x14ac:dyDescent="0.2">
      <c r="E14" s="4" t="s">
        <v>17</v>
      </c>
      <c r="J14" s="4" t="s">
        <v>18</v>
      </c>
    </row>
    <row r="15" spans="4:11" x14ac:dyDescent="0.2">
      <c r="D15" t="s">
        <v>15</v>
      </c>
      <c r="E15" s="3"/>
      <c r="F15" t="s">
        <v>4</v>
      </c>
      <c r="I15" t="s">
        <v>15</v>
      </c>
      <c r="J15" s="3"/>
      <c r="K15" t="s">
        <v>4</v>
      </c>
    </row>
    <row r="16" spans="4:11" x14ac:dyDescent="0.2">
      <c r="D16" t="s">
        <v>16</v>
      </c>
      <c r="E16" s="3"/>
      <c r="F16" t="s">
        <v>19</v>
      </c>
      <c r="I16" t="s">
        <v>16</v>
      </c>
      <c r="J16" s="3"/>
      <c r="K16" t="s">
        <v>19</v>
      </c>
    </row>
    <row r="17" spans="4:10" x14ac:dyDescent="0.2">
      <c r="D17" t="s">
        <v>30</v>
      </c>
      <c r="E17" s="3"/>
      <c r="I17" t="s">
        <v>32</v>
      </c>
      <c r="J17" s="3"/>
    </row>
    <row r="18" spans="4:10" x14ac:dyDescent="0.2">
      <c r="D18" t="s">
        <v>31</v>
      </c>
      <c r="E18" s="3"/>
      <c r="I18" t="s">
        <v>33</v>
      </c>
      <c r="J18" s="3"/>
    </row>
    <row r="19" spans="4:10" x14ac:dyDescent="0.2">
      <c r="D19" t="s">
        <v>22</v>
      </c>
      <c r="E19" s="3"/>
      <c r="I19" t="s">
        <v>26</v>
      </c>
      <c r="J19" s="3"/>
    </row>
    <row r="20" spans="4:10" x14ac:dyDescent="0.2">
      <c r="D20" t="s">
        <v>25</v>
      </c>
      <c r="E20" s="3"/>
      <c r="I20" t="s">
        <v>27</v>
      </c>
      <c r="J20" s="3"/>
    </row>
    <row r="21" spans="4:10" x14ac:dyDescent="0.2">
      <c r="D21" t="s">
        <v>23</v>
      </c>
      <c r="E21" s="3"/>
      <c r="I21" t="s">
        <v>28</v>
      </c>
      <c r="J21" s="3"/>
    </row>
    <row r="22" spans="4:10" x14ac:dyDescent="0.2">
      <c r="D22" t="s">
        <v>24</v>
      </c>
      <c r="E22" s="3"/>
      <c r="I22" t="s">
        <v>29</v>
      </c>
      <c r="J22" s="3"/>
    </row>
    <row r="25" spans="4:10" x14ac:dyDescent="0.2">
      <c r="D25" t="s">
        <v>20</v>
      </c>
      <c r="I2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Maraoulaite</dc:creator>
  <cp:lastModifiedBy>Dalia Maraoulaite</cp:lastModifiedBy>
  <dcterms:created xsi:type="dcterms:W3CDTF">2024-11-12T09:45:44Z</dcterms:created>
  <dcterms:modified xsi:type="dcterms:W3CDTF">2025-02-23T08:43:59Z</dcterms:modified>
</cp:coreProperties>
</file>